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1 - Bouslim" sheetId="1" state="visible" r:id="rId1"/>
    <sheet xmlns:r="http://schemas.openxmlformats.org/officeDocument/2006/relationships" name="Lot 2 - Brise-charge" sheetId="2" state="visible" r:id="rId2"/>
    <sheet xmlns:r="http://schemas.openxmlformats.org/officeDocument/2006/relationships" name="Résultat attend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9" customWidth="1" min="1" max="1"/>
    <col width="58" customWidth="1" min="2" max="2"/>
    <col width="14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BORDEREAU DES PRIX - DETAIL ESTIMATIF (FICHIER DE TEST HYDRA)</t>
        </is>
      </c>
    </row>
    <row r="2">
      <c r="A2" s="2" t="inlineStr">
        <is>
          <t>PRIX FICTIFS - NE PAS UTILISER POUR UN CHIFFRAGE. Lignes inspirees du devis JICA Mahdia 2001 (projet Bouslim).</t>
        </is>
      </c>
    </row>
    <row r="4">
      <c r="A4" s="3" t="inlineStr">
        <is>
          <t>N° Prix</t>
        </is>
      </c>
      <c r="B4" s="3" t="inlineStr">
        <is>
          <t>Désignation des ouvrages</t>
        </is>
      </c>
      <c r="C4" s="3" t="inlineStr">
        <is>
          <t>U</t>
        </is>
      </c>
      <c r="D4" s="3" t="inlineStr">
        <is>
          <t>Qté</t>
        </is>
      </c>
      <c r="E4" s="3" t="inlineStr">
        <is>
          <t>P.U (DT)</t>
        </is>
      </c>
      <c r="F4" s="3" t="inlineStr">
        <is>
          <t>Montant (DT)</t>
        </is>
      </c>
    </row>
    <row r="5">
      <c r="A5" s="4" t="inlineStr">
        <is>
          <t>I - FOURNITURE</t>
        </is>
      </c>
    </row>
    <row r="6">
      <c r="A6" t="n">
        <v>1</v>
      </c>
      <c r="B6" t="inlineStr">
        <is>
          <t>Conduite PEHD PN10 DE 250</t>
        </is>
      </c>
      <c r="C6" t="inlineStr">
        <is>
          <t>ML</t>
        </is>
      </c>
      <c r="D6" t="n">
        <v>1404</v>
      </c>
      <c r="E6" t="n">
        <v>95.5</v>
      </c>
      <c r="F6">
        <f>D6*E6</f>
        <v/>
      </c>
    </row>
    <row r="7">
      <c r="A7" t="n">
        <v>2</v>
      </c>
      <c r="B7" t="inlineStr">
        <is>
          <t>Conduite PEHD PN16 DE 200</t>
        </is>
      </c>
      <c r="C7" t="inlineStr">
        <is>
          <t>ml</t>
        </is>
      </c>
      <c r="D7" t="n">
        <v>8762</v>
      </c>
      <c r="E7" t="n">
        <v>78.25</v>
      </c>
      <c r="F7">
        <f>D7*E7</f>
        <v/>
      </c>
    </row>
    <row r="8">
      <c r="A8" t="n">
        <v>3</v>
      </c>
      <c r="B8" t="inlineStr">
        <is>
          <t>Conduite PEHD PN10 DE 200</t>
        </is>
      </c>
      <c r="C8" t="inlineStr">
        <is>
          <t>ML</t>
        </is>
      </c>
      <c r="D8" t="inlineStr">
        <is>
          <t>14 609,000</t>
        </is>
      </c>
      <c r="E8" t="n">
        <v>61</v>
      </c>
      <c r="F8">
        <f>D8*E8</f>
        <v/>
      </c>
    </row>
    <row r="9">
      <c r="A9" t="n">
        <v>4</v>
      </c>
      <c r="B9" t="inlineStr">
        <is>
          <t>Conduite PEHD PN10 DE 160</t>
        </is>
      </c>
      <c r="C9" t="inlineStr">
        <is>
          <t>mètre linéaire</t>
        </is>
      </c>
      <c r="D9" t="n">
        <v>8126</v>
      </c>
      <c r="E9" t="n">
        <v>42.3</v>
      </c>
      <c r="F9">
        <f>D9*E9</f>
        <v/>
      </c>
    </row>
    <row r="10">
      <c r="A10" t="n">
        <v>5</v>
      </c>
      <c r="B10" t="inlineStr">
        <is>
          <t>Conduite PEHD PN10 DE 110</t>
        </is>
      </c>
      <c r="C10" t="inlineStr">
        <is>
          <t>ML</t>
        </is>
      </c>
      <c r="D10" t="n">
        <v>8170</v>
      </c>
      <c r="E10" t="n">
        <v>21.75</v>
      </c>
      <c r="F10">
        <f>D10*E10</f>
        <v/>
      </c>
    </row>
    <row r="11">
      <c r="A11" t="n">
        <v>6</v>
      </c>
      <c r="B11" t="inlineStr">
        <is>
          <t>Conduite PEHD PN10 DE 90</t>
        </is>
      </c>
      <c r="C11" t="inlineStr">
        <is>
          <t>ML</t>
        </is>
      </c>
      <c r="D11" t="n">
        <v>21915</v>
      </c>
      <c r="E11" t="n">
        <v>15.4</v>
      </c>
      <c r="F11">
        <f>D11*E11</f>
        <v/>
      </c>
    </row>
    <row r="12">
      <c r="A12" t="n">
        <v>38</v>
      </c>
      <c r="B12" t="inlineStr">
        <is>
          <t>Robinet vanne fonte DN 200 PN10</t>
        </is>
      </c>
      <c r="C12" t="inlineStr">
        <is>
          <t>U</t>
        </is>
      </c>
      <c r="D12" t="n">
        <v>2</v>
      </c>
      <c r="E12" t="n">
        <v>1450</v>
      </c>
      <c r="F12">
        <f>D12*E12</f>
        <v/>
      </c>
    </row>
    <row r="13">
      <c r="A13" t="n">
        <v>41</v>
      </c>
      <c r="B13" t="inlineStr">
        <is>
          <t>Robinet vanne fonte DN 80 PN10</t>
        </is>
      </c>
      <c r="C13" t="inlineStr">
        <is>
          <t>unité</t>
        </is>
      </c>
      <c r="D13" t="n">
        <v>50</v>
      </c>
      <c r="E13" t="n">
        <v>380</v>
      </c>
      <c r="F13">
        <f>D13*E13</f>
        <v/>
      </c>
    </row>
    <row r="14">
      <c r="A14" t="n">
        <v>49</v>
      </c>
      <c r="B14" t="inlineStr">
        <is>
          <t>Ventouse à double effet PN16</t>
        </is>
      </c>
      <c r="C14" t="inlineStr">
        <is>
          <t>U</t>
        </is>
      </c>
      <c r="D14" t="n">
        <v>9</v>
      </c>
      <c r="E14" t="n">
        <v>520</v>
      </c>
      <c r="F14">
        <f>D14*E14</f>
        <v/>
      </c>
    </row>
    <row r="15">
      <c r="A15" t="n">
        <v>62</v>
      </c>
      <c r="B15" t="inlineStr">
        <is>
          <t>Compteur volumétrique DN 80 bridé</t>
        </is>
      </c>
      <c r="C15" t="inlineStr">
        <is>
          <t>U</t>
        </is>
      </c>
      <c r="D15" t="n">
        <v>3</v>
      </c>
      <c r="E15" t="n">
        <v>890</v>
      </c>
      <c r="F15">
        <f>D15*E15</f>
        <v/>
      </c>
    </row>
    <row r="16">
      <c r="A16" s="4" t="inlineStr">
        <is>
          <t>II - POSE ET ESSAI DES CONDUITES</t>
        </is>
      </c>
    </row>
    <row r="17">
      <c r="A17" t="n">
        <v>1</v>
      </c>
      <c r="B17" t="inlineStr">
        <is>
          <t>Pose et essai conduite PEHD PN10 DE 250</t>
        </is>
      </c>
      <c r="C17" t="inlineStr">
        <is>
          <t>ML</t>
        </is>
      </c>
      <c r="D17" t="n">
        <v>1404</v>
      </c>
      <c r="E17" t="n">
        <v>9</v>
      </c>
      <c r="F17">
        <f>D17*E17</f>
        <v/>
      </c>
    </row>
    <row r="18">
      <c r="A18" t="n">
        <v>2</v>
      </c>
      <c r="B18" t="inlineStr">
        <is>
          <t>Pose et essai conduite PEHD PN16 DE 200</t>
        </is>
      </c>
      <c r="C18" t="inlineStr">
        <is>
          <t>ML</t>
        </is>
      </c>
      <c r="D18" t="n">
        <v>8762</v>
      </c>
      <c r="E18" t="n">
        <v>7.5</v>
      </c>
      <c r="F18">
        <f>D18*E18</f>
        <v/>
      </c>
    </row>
    <row r="19">
      <c r="A19" t="n">
        <v>3</v>
      </c>
      <c r="B19" t="inlineStr">
        <is>
          <t>Pose et essai conduite PEHD PN10 DE 200</t>
        </is>
      </c>
      <c r="C19" t="inlineStr">
        <is>
          <t>ML</t>
        </is>
      </c>
      <c r="D19" t="n">
        <v>14609</v>
      </c>
      <c r="E19" t="n">
        <v>7.5</v>
      </c>
      <c r="F19">
        <f>D19*E19</f>
        <v/>
      </c>
    </row>
    <row r="20">
      <c r="A20" t="n">
        <v>4</v>
      </c>
      <c r="B20" t="inlineStr">
        <is>
          <t>Pose et essai conduite PEHD PN10 DE 160</t>
        </is>
      </c>
      <c r="C20" t="inlineStr">
        <is>
          <t>ML</t>
        </is>
      </c>
      <c r="D20" t="n">
        <v>8126</v>
      </c>
      <c r="E20" t="n">
        <v>6</v>
      </c>
      <c r="F20">
        <f>D20*E20</f>
        <v/>
      </c>
    </row>
    <row r="21">
      <c r="A21" t="n">
        <v>5</v>
      </c>
      <c r="B21" t="inlineStr">
        <is>
          <t>Pose et essai conduite PEHD PN10 DE 110</t>
        </is>
      </c>
      <c r="C21" t="inlineStr">
        <is>
          <t>ML</t>
        </is>
      </c>
      <c r="D21" t="n">
        <v>8170</v>
      </c>
      <c r="E21" t="n">
        <v>4.5</v>
      </c>
      <c r="F21">
        <f>D21*E21</f>
        <v/>
      </c>
    </row>
    <row r="22">
      <c r="A22" t="n">
        <v>6</v>
      </c>
      <c r="B22" t="inlineStr">
        <is>
          <t>Pose et essai conduite PEHD PN10 DE 90</t>
        </is>
      </c>
      <c r="C22" t="inlineStr">
        <is>
          <t>ML</t>
        </is>
      </c>
      <c r="D22" t="n">
        <v>21915</v>
      </c>
      <c r="E22" t="n">
        <v>4</v>
      </c>
      <c r="F22">
        <f>D22*E22</f>
        <v/>
      </c>
    </row>
    <row r="23">
      <c r="A23" s="4" t="inlineStr">
        <is>
          <t>III - TERRASSEMENT (tranchée largeur 60 cm)</t>
        </is>
      </c>
    </row>
    <row r="24">
      <c r="A24" t="n">
        <v>1</v>
      </c>
      <c r="B24" t="inlineStr">
        <is>
          <t>Fouille en tranchée</t>
        </is>
      </c>
      <c r="C24" t="inlineStr">
        <is>
          <t>M3</t>
        </is>
      </c>
      <c r="D24" t="n">
        <v>45370</v>
      </c>
      <c r="E24" t="n">
        <v>12</v>
      </c>
      <c r="F24">
        <f>D24*E24</f>
        <v/>
      </c>
    </row>
    <row r="25">
      <c r="A25" t="n">
        <v>2</v>
      </c>
      <c r="B25" t="inlineStr">
        <is>
          <t>Remblai</t>
        </is>
      </c>
      <c r="C25" t="inlineStr">
        <is>
          <t>m³</t>
        </is>
      </c>
      <c r="D25" t="n">
        <v>34000</v>
      </c>
      <c r="E25" t="n">
        <v>6.5</v>
      </c>
      <c r="F25">
        <f>D25*E25</f>
        <v/>
      </c>
    </row>
    <row r="26">
      <c r="A26" t="n">
        <v>3</v>
      </c>
      <c r="B26" t="inlineStr">
        <is>
          <t>Sable</t>
        </is>
      </c>
      <c r="C26" t="inlineStr">
        <is>
          <t>M3</t>
        </is>
      </c>
      <c r="D26" t="n">
        <v>5800</v>
      </c>
      <c r="E26" t="n">
        <v>28</v>
      </c>
      <c r="F26">
        <f>D26*E26</f>
        <v/>
      </c>
    </row>
    <row r="27">
      <c r="A27" s="4" t="inlineStr">
        <is>
          <t>IV - GENIE CIVIL</t>
        </is>
      </c>
    </row>
    <row r="28">
      <c r="A28" s="5" t="inlineStr">
        <is>
          <t>41. Ouvrages de petite hydraulique</t>
        </is>
      </c>
    </row>
    <row r="29">
      <c r="A29" t="n">
        <v>1</v>
      </c>
      <c r="B29" t="inlineStr">
        <is>
          <t>Regard de ventouse</t>
        </is>
      </c>
      <c r="C29" t="inlineStr">
        <is>
          <t>U</t>
        </is>
      </c>
      <c r="D29" t="n">
        <v>56</v>
      </c>
      <c r="E29" t="n">
        <v>650</v>
      </c>
      <c r="F29">
        <f>D29*E29</f>
        <v/>
      </c>
    </row>
    <row r="30">
      <c r="A30" t="n">
        <v>2</v>
      </c>
      <c r="B30" t="inlineStr">
        <is>
          <t>Regard de vidange</t>
        </is>
      </c>
      <c r="C30" t="inlineStr">
        <is>
          <t>U</t>
        </is>
      </c>
      <c r="D30" t="n">
        <v>48</v>
      </c>
      <c r="E30" t="n">
        <v>700</v>
      </c>
      <c r="F30">
        <f>D30*E30</f>
        <v/>
      </c>
    </row>
    <row r="31">
      <c r="A31" t="n">
        <v>9</v>
      </c>
      <c r="B31" t="inlineStr">
        <is>
          <t>Ouvrages de distribution BF</t>
        </is>
      </c>
      <c r="C31" t="inlineStr">
        <is>
          <t>U</t>
        </is>
      </c>
      <c r="D31" t="n">
        <v>42</v>
      </c>
      <c r="E31" t="n">
        <v>1200</v>
      </c>
      <c r="F31">
        <f>D31*E31</f>
        <v/>
      </c>
    </row>
    <row r="32">
      <c r="A32" t="n">
        <v>14</v>
      </c>
      <c r="B32" t="inlineStr">
        <is>
          <t>Frais de raccordement sur conduite existante</t>
        </is>
      </c>
      <c r="C32" t="inlineStr">
        <is>
          <t>Forf</t>
        </is>
      </c>
      <c r="D32" t="n">
        <v>1</v>
      </c>
      <c r="E32" t="n">
        <v>3500</v>
      </c>
      <c r="F32">
        <f>D32*E32</f>
        <v/>
      </c>
    </row>
    <row r="33">
      <c r="A33" s="5" t="inlineStr">
        <is>
          <t>42. Construction réservoir sur piliers 250 m³</t>
        </is>
      </c>
    </row>
    <row r="34">
      <c r="A34" t="n">
        <v>1</v>
      </c>
      <c r="B34" t="inlineStr">
        <is>
          <t>Terrassement pleine masse de la plate-forme de fondation</t>
        </is>
      </c>
      <c r="C34" t="inlineStr">
        <is>
          <t>M3</t>
        </is>
      </c>
      <c r="D34" t="n">
        <v>203</v>
      </c>
      <c r="E34" t="n">
        <v>14</v>
      </c>
      <c r="F34">
        <f>D34*E34</f>
        <v/>
      </c>
    </row>
    <row r="35">
      <c r="A35" t="n">
        <v>2</v>
      </c>
      <c r="B35" t="inlineStr">
        <is>
          <t>Béton B1 de propreté dosé à 250 kg de ciment</t>
        </is>
      </c>
      <c r="C35" t="inlineStr">
        <is>
          <t>M3</t>
        </is>
      </c>
      <c r="D35" t="inlineStr">
        <is>
          <t>7,5</t>
        </is>
      </c>
      <c r="E35" t="n">
        <v>160</v>
      </c>
      <c r="F35">
        <f>D35*E35</f>
        <v/>
      </c>
    </row>
    <row r="36">
      <c r="A36" t="n">
        <v>5</v>
      </c>
      <c r="B36" t="inlineStr">
        <is>
          <t>Béton B5 dosé à 350 kg/m³, armé, ouvrages de fondation</t>
        </is>
      </c>
      <c r="C36" t="inlineStr">
        <is>
          <t>M3</t>
        </is>
      </c>
      <c r="D36" t="n">
        <v>193</v>
      </c>
      <c r="E36" t="n">
        <v>420</v>
      </c>
      <c r="F36">
        <f>D36*E36</f>
        <v/>
      </c>
    </row>
    <row r="37">
      <c r="A37" t="n">
        <v>14</v>
      </c>
      <c r="B37" t="inlineStr">
        <is>
          <t>Acier haute adhérence Tunisid</t>
        </is>
      </c>
      <c r="C37" t="inlineStr">
        <is>
          <t>Kg</t>
        </is>
      </c>
      <c r="D37" t="n">
        <v>20270</v>
      </c>
      <c r="E37" t="n">
        <v>3.2</v>
      </c>
      <c r="F37">
        <f>D37*E37</f>
        <v/>
      </c>
    </row>
    <row r="38">
      <c r="A38" t="n">
        <v>24</v>
      </c>
      <c r="B38" t="inlineStr">
        <is>
          <t>Robinet vanne passage direct DN 200 PN10</t>
        </is>
      </c>
      <c r="C38" t="inlineStr">
        <is>
          <t>U</t>
        </is>
      </c>
      <c r="D38" t="n">
        <v>3</v>
      </c>
      <c r="E38" t="n">
        <v>1450</v>
      </c>
      <c r="F38">
        <f>D38*E38</f>
        <v/>
      </c>
    </row>
    <row r="39">
      <c r="A39" t="n">
        <v>24</v>
      </c>
      <c r="B39" t="inlineStr">
        <is>
          <t>Té bridé 200/200 acier galvanisé PN10</t>
        </is>
      </c>
      <c r="C39" t="inlineStr">
        <is>
          <t>U</t>
        </is>
      </c>
      <c r="D39" t="n">
        <v>3</v>
      </c>
      <c r="E39" t="n">
        <v>610</v>
      </c>
      <c r="F39">
        <f>D39*E39</f>
        <v/>
      </c>
    </row>
    <row r="40">
      <c r="A40" s="5" t="inlineStr">
        <is>
          <t>43. Construction station de reprise + abri</t>
        </is>
      </c>
    </row>
    <row r="41">
      <c r="A41" t="n">
        <v>1</v>
      </c>
      <c r="B41" t="inlineStr">
        <is>
          <t>Fouille en pleine masse</t>
        </is>
      </c>
      <c r="C41" t="inlineStr">
        <is>
          <t>M3</t>
        </is>
      </c>
      <c r="D41" t="n">
        <v>22</v>
      </c>
      <c r="E41" t="n">
        <v>14</v>
      </c>
      <c r="F41">
        <f>D41*E41</f>
        <v/>
      </c>
    </row>
    <row r="42">
      <c r="A42" t="n">
        <v>22</v>
      </c>
      <c r="B42" t="inlineStr">
        <is>
          <t>Monorail 200</t>
        </is>
      </c>
      <c r="C42" t="inlineStr">
        <is>
          <t>U</t>
        </is>
      </c>
      <c r="D42" t="n">
        <v>1</v>
      </c>
      <c r="E42" t="n">
        <v>2800</v>
      </c>
      <c r="F42">
        <f>D42*E42</f>
        <v/>
      </c>
    </row>
    <row r="43">
      <c r="A43" t="n">
        <v>23</v>
      </c>
      <c r="B43" t="inlineStr">
        <is>
          <t>Éclairage en points lumineux</t>
        </is>
      </c>
      <c r="C43" t="inlineStr">
        <is>
          <t>U</t>
        </is>
      </c>
      <c r="D43" t="n">
        <v>5</v>
      </c>
      <c r="E43" t="n">
        <v>95</v>
      </c>
      <c r="F43">
        <f>D43*E43</f>
        <v/>
      </c>
    </row>
    <row r="44">
      <c r="A44" t="n">
        <v>24</v>
      </c>
      <c r="B44" t="inlineStr">
        <is>
          <t>Clôture en brique 12 trous, 20x20 m, H=2 m</t>
        </is>
      </c>
      <c r="C44" t="inlineStr">
        <is>
          <t>F</t>
        </is>
      </c>
      <c r="D44" t="n">
        <v>1</v>
      </c>
      <c r="E44" t="n">
        <v>9500</v>
      </c>
      <c r="F44">
        <f>D44*E44</f>
        <v/>
      </c>
    </row>
    <row r="45">
      <c r="A45" s="5" t="inlineStr">
        <is>
          <t>44. Construction réservoir semi-enterré 150 m³</t>
        </is>
      </c>
    </row>
    <row r="46">
      <c r="A46" t="n">
        <v>3</v>
      </c>
      <c r="B46" t="inlineStr">
        <is>
          <t>Béton B3</t>
        </is>
      </c>
      <c r="C46" t="inlineStr">
        <is>
          <t>M3</t>
        </is>
      </c>
      <c r="D46" t="n">
        <v>66</v>
      </c>
      <c r="E46" t="n">
        <v>240</v>
      </c>
      <c r="F46">
        <f>D46*E46</f>
        <v/>
      </c>
    </row>
    <row r="47">
      <c r="A47" t="n">
        <v>11</v>
      </c>
      <c r="B47" t="inlineStr">
        <is>
          <t>Acier haute adhérence Tunisid</t>
        </is>
      </c>
      <c r="C47" t="inlineStr">
        <is>
          <t>Kg</t>
        </is>
      </c>
      <c r="D47" t="n">
        <v>6280</v>
      </c>
      <c r="E47" t="n">
        <v>3.2</v>
      </c>
      <c r="F47">
        <f>D47*E47</f>
        <v/>
      </c>
    </row>
    <row r="48">
      <c r="A48" t="n">
        <v>14</v>
      </c>
      <c r="B48" t="inlineStr">
        <is>
          <t>Trappe d'entrée avec aération (82x82)</t>
        </is>
      </c>
      <c r="C48" t="inlineStr">
        <is>
          <t>U</t>
        </is>
      </c>
      <c r="D48" t="n">
        <v>1</v>
      </c>
      <c r="E48" t="n">
        <v>480</v>
      </c>
      <c r="F48">
        <f>D48*E48</f>
        <v/>
      </c>
    </row>
    <row r="49">
      <c r="A49" t="n">
        <v>15</v>
      </c>
      <c r="B49" t="inlineStr">
        <is>
          <t>Échelle acier galvanisé</t>
        </is>
      </c>
      <c r="C49" t="inlineStr">
        <is>
          <t>U</t>
        </is>
      </c>
      <c r="E49" t="n">
        <v>350</v>
      </c>
      <c r="F49">
        <f>D49*E49</f>
        <v/>
      </c>
    </row>
    <row r="50">
      <c r="A50" t="n">
        <v>16</v>
      </c>
      <c r="B50" t="inlineStr">
        <is>
          <t>Porte ventilée en tôle d'acier (90x210 cm)</t>
        </is>
      </c>
      <c r="C50" t="inlineStr">
        <is>
          <t>U</t>
        </is>
      </c>
      <c r="D50" t="inlineStr">
        <is>
          <t>à préciser</t>
        </is>
      </c>
      <c r="E50" t="n">
        <v>620</v>
      </c>
      <c r="F50">
        <f>D50*E50</f>
        <v/>
      </c>
    </row>
    <row r="52">
      <c r="B52" s="3" t="inlineStr">
        <is>
          <t>TOTAL HORS TVA</t>
        </is>
      </c>
      <c r="F52">
        <f>SUM(F5:F50)</f>
        <v/>
      </c>
    </row>
    <row r="53">
      <c r="B53" s="3" t="inlineStr">
        <is>
          <t>TVA 19 %</t>
        </is>
      </c>
      <c r="F53">
        <f>F52*0.19</f>
        <v/>
      </c>
    </row>
    <row r="54">
      <c r="B54" s="3" t="inlineStr">
        <is>
          <t>TOTAL TTC</t>
        </is>
      </c>
      <c r="F54">
        <f>F52+F53</f>
        <v/>
      </c>
    </row>
  </sheetData>
  <mergeCells count="8">
    <mergeCell ref="A16:F16"/>
    <mergeCell ref="A33:F33"/>
    <mergeCell ref="A28:F28"/>
    <mergeCell ref="A5:F5"/>
    <mergeCell ref="A23:F23"/>
    <mergeCell ref="A45:F45"/>
    <mergeCell ref="A27:F27"/>
    <mergeCell ref="A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8" customWidth="1" min="3" max="3"/>
    <col width="10" customWidth="1" min="4" max="4"/>
    <col width="14" customWidth="1" min="5" max="5"/>
    <col width="14" customWidth="1" min="6" max="6"/>
  </cols>
  <sheetData>
    <row r="1">
      <c r="A1" s="3" t="inlineStr">
        <is>
          <t>SOUS-LOT III : CONSTRUCTION DE DEUX BRISES CHARGE DE 8 m³ CHACUN (FICHIER DE TEST HYDRA, PRIX FICTIFS)</t>
        </is>
      </c>
    </row>
    <row r="3">
      <c r="A3" s="3" t="inlineStr">
        <is>
          <t>N°</t>
        </is>
      </c>
      <c r="B3" s="3" t="inlineStr">
        <is>
          <t>Désignation</t>
        </is>
      </c>
      <c r="C3" s="3" t="inlineStr">
        <is>
          <t>Unité</t>
        </is>
      </c>
      <c r="D3" s="3" t="inlineStr">
        <is>
          <t>Quantité</t>
        </is>
      </c>
      <c r="E3" s="3" t="inlineStr">
        <is>
          <t>Prix unitaire</t>
        </is>
      </c>
      <c r="F3" s="3" t="inlineStr">
        <is>
          <t>Montant</t>
        </is>
      </c>
    </row>
    <row r="4">
      <c r="A4" t="n">
        <v>1</v>
      </c>
      <c r="B4" t="inlineStr">
        <is>
          <t>Fouilles en pleine masse pour ouvrage, terrain de toute nature</t>
        </is>
      </c>
      <c r="C4" t="inlineStr">
        <is>
          <t>M3</t>
        </is>
      </c>
      <c r="D4" t="n">
        <v>40</v>
      </c>
      <c r="E4" t="n">
        <v>14</v>
      </c>
      <c r="F4">
        <f>D4*E4</f>
        <v/>
      </c>
    </row>
    <row r="5">
      <c r="A5" t="n">
        <v>2</v>
      </c>
      <c r="B5" t="inlineStr">
        <is>
          <t>Béton de propreté dosé 150 kg CPA 45/m³, épaisseur 5 cm</t>
        </is>
      </c>
      <c r="C5" t="inlineStr">
        <is>
          <t>M2</t>
        </is>
      </c>
      <c r="D5" t="n">
        <v>16</v>
      </c>
      <c r="E5" t="n">
        <v>22</v>
      </c>
      <c r="F5">
        <f>D5*E5</f>
        <v/>
      </c>
    </row>
    <row r="6">
      <c r="A6" t="n">
        <v>3</v>
      </c>
      <c r="B6" t="inlineStr">
        <is>
          <t>Béton armé dosé 350 kg CPA 45/m³</t>
        </is>
      </c>
      <c r="C6" t="inlineStr">
        <is>
          <t>M3</t>
        </is>
      </c>
      <c r="D6" t="n">
        <v>24</v>
      </c>
      <c r="E6" t="n">
        <v>430</v>
      </c>
      <c r="F6">
        <f>D6*E6</f>
        <v/>
      </c>
    </row>
    <row r="7">
      <c r="A7" t="n">
        <v>4</v>
      </c>
      <c r="B7" t="inlineStr">
        <is>
          <t>Acier à haute adhérence, façonnage et mise en place</t>
        </is>
      </c>
      <c r="C7" t="inlineStr">
        <is>
          <t>KG</t>
        </is>
      </c>
      <c r="D7" t="n">
        <v>1600</v>
      </c>
      <c r="E7" t="n">
        <v>3.2</v>
      </c>
      <c r="F7">
        <f>D7*E7</f>
        <v/>
      </c>
    </row>
    <row r="8">
      <c r="A8" t="n">
        <v>11</v>
      </c>
      <c r="B8" t="inlineStr">
        <is>
          <t>Robinet vanne ronde DN 100, opercule caoutchouc</t>
        </is>
      </c>
      <c r="C8" t="inlineStr">
        <is>
          <t>U</t>
        </is>
      </c>
      <c r="D8" t="n">
        <v>2</v>
      </c>
      <c r="E8" t="n">
        <v>760</v>
      </c>
      <c r="F8">
        <f>D8*E8</f>
        <v/>
      </c>
    </row>
    <row r="9">
      <c r="A9" t="n">
        <v>11</v>
      </c>
      <c r="B9" t="inlineStr">
        <is>
          <t>Robinet vanne ronde DN 80, opercule caoutchouc</t>
        </is>
      </c>
      <c r="C9" t="inlineStr">
        <is>
          <t>U</t>
        </is>
      </c>
      <c r="D9" t="n">
        <v>4</v>
      </c>
      <c r="E9" t="n">
        <v>610</v>
      </c>
      <c r="F9">
        <f>D9*E9</f>
        <v/>
      </c>
    </row>
    <row r="10">
      <c r="A10" t="n">
        <v>11</v>
      </c>
      <c r="B10" t="inlineStr">
        <is>
          <t>Robinet flotteur DN 60</t>
        </is>
      </c>
      <c r="C10" t="inlineStr">
        <is>
          <t>U</t>
        </is>
      </c>
      <c r="D10" t="n">
        <v>2</v>
      </c>
      <c r="E10" t="n">
        <v>540</v>
      </c>
      <c r="F10">
        <f>D10*E10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2" customWidth="1" min="1" max="1"/>
    <col width="120" customWidth="1" min="2" max="2"/>
  </cols>
  <sheetData>
    <row r="1">
      <c r="A1" s="1" t="inlineStr">
        <is>
          <t>What a correct import of this file should produce</t>
        </is>
      </c>
      <c r="B1" t="inlineStr"/>
    </row>
    <row r="2">
      <c r="A2" t="inlineStr"/>
      <c r="B2" t="inlineStr"/>
    </row>
    <row r="3">
      <c r="A3" s="3" t="inlineStr">
        <is>
          <t>Check</t>
        </is>
      </c>
      <c r="B3" s="3" t="inlineStr">
        <is>
          <t>Expected</t>
        </is>
      </c>
    </row>
    <row r="4">
      <c r="A4" s="6" t="inlineStr">
        <is>
          <t>Sheets imported</t>
        </is>
      </c>
      <c r="B4" s="6" t="inlineStr">
        <is>
          <t>2 sheets as 2 top-level sections (Lot 1 - Bouslim, Lot 2 - Brise-charge). The sheet 'Résultat attendu' must be ignored (no header row found).</t>
        </is>
      </c>
    </row>
    <row r="5">
      <c r="A5" s="6" t="inlineStr">
        <is>
          <t>Lines on sheet Lot 1</t>
        </is>
      </c>
      <c r="B5" s="6" t="inlineStr">
        <is>
          <t>38 article lines (titles and total rows excluded)</t>
        </is>
      </c>
    </row>
    <row r="6">
      <c r="A6" s="6" t="inlineStr">
        <is>
          <t>Lines on sheet Lot 2</t>
        </is>
      </c>
      <c r="B6" s="6" t="inlineStr">
        <is>
          <t>7 article lines</t>
        </is>
      </c>
    </row>
    <row r="7">
      <c r="A7" s="6" t="inlineStr">
        <is>
          <t>Section titles on Lot 1</t>
        </is>
      </c>
      <c r="B7" s="6" t="inlineStr">
        <is>
          <t>I, II, III, IV and sub-sections 41, 42, 43, 44 (merged cells) - none imported as an article</t>
        </is>
      </c>
    </row>
    <row r="8">
      <c r="A8" s="6" t="inlineStr">
        <is>
          <t>Total rows</t>
        </is>
      </c>
      <c r="B8" s="6" t="inlineStr">
        <is>
          <t>TOTAL HORS TVA, TVA 19 %, TOTAL TTC are NOT imported as articles</t>
        </is>
      </c>
    </row>
    <row r="9">
      <c r="A9" s="6" t="inlineStr">
        <is>
          <t>Quantity '14 609,000' (text)</t>
        </is>
      </c>
      <c r="B9" s="6" t="inlineStr">
        <is>
          <t>Parsed as 14609.000</t>
        </is>
      </c>
    </row>
    <row r="10">
      <c r="A10" s="6" t="inlineStr">
        <is>
          <t>Quantity '7,5' (text)</t>
        </is>
      </c>
      <c r="B10" s="6" t="inlineStr">
        <is>
          <t>Parsed as 7.500</t>
        </is>
      </c>
    </row>
    <row r="11">
      <c r="A11" s="6" t="inlineStr">
        <is>
          <t>Units ml / mètre linéaire / ML</t>
        </is>
      </c>
      <c r="B11" s="6" t="inlineStr">
        <is>
          <t>All normalised to ML; unit_raw kept as written</t>
        </is>
      </c>
    </row>
    <row r="12">
      <c r="A12" s="6" t="inlineStr">
        <is>
          <t>Unit 'unité'</t>
        </is>
      </c>
      <c r="B12" s="6" t="inlineStr">
        <is>
          <t>U ; 'm³' -&gt; M3 ; 'Kg' / 'KG' -&gt; KG ; 'Forf' -&gt; FORFAIT</t>
        </is>
      </c>
    </row>
    <row r="13">
      <c r="A13" s="6" t="inlineStr">
        <is>
          <t>Unit 'F' (Lot 1, 43, line 24)</t>
        </is>
      </c>
      <c r="B13" s="6" t="inlineStr">
        <is>
          <t>unit = null + warning 'unité inconnue'</t>
        </is>
      </c>
    </row>
    <row r="14">
      <c r="A14" s="6" t="inlineStr">
        <is>
          <t>Quantity empty (44, line 15)</t>
        </is>
      </c>
      <c r="B14" s="6" t="inlineStr">
        <is>
          <t>quantity 0 + warning</t>
        </is>
      </c>
    </row>
    <row r="15">
      <c r="A15" s="6" t="inlineStr">
        <is>
          <t>Quantity 'à préciser' (44, line 16)</t>
        </is>
      </c>
      <c r="B15" s="6" t="inlineStr">
        <is>
          <t>quantity 0 + warning 'quantité non numérique'</t>
        </is>
      </c>
    </row>
    <row r="16">
      <c r="A16" s="6" t="inlineStr">
        <is>
          <t>Duplicate N° 24 in section 42</t>
        </is>
      </c>
      <c r="B16" s="6" t="inlineStr">
        <is>
          <t>both lines kept + warning on both</t>
        </is>
      </c>
    </row>
    <row r="17">
      <c r="A17" s="6" t="inlineStr">
        <is>
          <t>Duplicate N° 11 on Lot 2</t>
        </is>
      </c>
      <c r="B17" s="6" t="inlineStr">
        <is>
          <t>3 lines kept + warning</t>
        </is>
      </c>
    </row>
    <row r="18">
      <c r="A18" s="6" t="inlineStr">
        <is>
          <t>Montant column</t>
        </is>
      </c>
      <c r="B18" s="6" t="inlineStr">
        <is>
          <t>Ignored (formulas). Montant recomputed by HYDRA = quantity x unit price</t>
        </is>
      </c>
    </row>
    <row r="19">
      <c r="A19" s="6" t="inlineStr">
        <is>
          <t>Specs extracted</t>
        </is>
      </c>
      <c r="B19" s="6" t="inlineStr">
        <is>
          <t>'Conduite PEHD PN10 DE 250' -&gt; de_mm 250, pn_bar 10, materiau PEHD ; 'Robinet vanne fonte DN 200 PN10' -&gt; dn_mm 200, pn_bar 10, materiau FONTE ; 'Béton B5 dosé à 350 kg/m³' -&gt; dosage_kg_m3 350 ; section '42 ... 250 m³' -&gt; capacite_m3 250</t>
        </is>
      </c>
    </row>
    <row r="20">
      <c r="A20" s="6" t="inlineStr">
        <is>
          <t>work_nature</t>
        </is>
      </c>
      <c r="B20" s="6" t="inlineStr">
        <is>
          <t>Section I lines FOURNITURE ; II POSE ; III TERRASSEMENT ; 42-44 béton/acier GENIE_CIVIL ; robinet/trappe/échelle EQUIPEMENT</t>
        </is>
      </c>
    </row>
    <row r="21">
      <c r="A21" s="6" t="inlineStr">
        <is>
          <t>Fourniture &lt;-&gt; pose pairs</t>
        </is>
      </c>
      <c r="B21" s="6" t="inlineStr">
        <is>
          <t>6 pairs: each 'Conduite PEHD PNx DE y' in I with 'Pose et essai conduite PEHD PNx DE y' in II (same quantity)</t>
        </is>
      </c>
    </row>
    <row r="22">
      <c r="A22" s="6" t="inlineStr">
        <is>
          <t>Ouvrage suggestion (chantier with: 1 Conduite, Réservoir 250 m³ sur piliers, Réservoir 150 m³ semi-enterré, Station de reprise, Commun)</t>
        </is>
      </c>
      <c r="B22" s="6" t="inlineStr">
        <is>
          <t>I, II, III -&gt; Conduite ; 41 -&gt; Conduite (regards as quantities) ; 41 line 9 BF -&gt; Branchements if it exists, else Conduite ; 41 line 14 raccordement -&gt; Conduite ; 42 -&gt; Réservoir 250 m³ ; 43 -&gt; Station ; 44 -&gt; Réservoir 150 m³ ; Lot 2 -&gt; needs a Brise-charge ouvrage, otherwise left empty</t>
        </is>
      </c>
    </row>
    <row r="23">
      <c r="A23" s="6" t="inlineStr">
        <is>
          <t>Total HT of Lot 1 recomputed by HYDRA</t>
        </is>
      </c>
      <c r="B23" s="6" t="inlineStr">
        <is>
          <t>Compare with Excel's TOTAL HORS TVA after opening the file in Excel (lines without quantity count as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2026-10-31T16:29:35Z</dcterms:created>
  <dcterms:modified xmlns:dcterms="http://purl.org/dc/terms/" xmlns:xsi="http://www.w3.org/2001/XMLSchema-instance" xsi:type="dcterms:W3CDTF">2026-10-31T16:29:35Z</dcterms:modified>
</cp:coreProperties>
</file>